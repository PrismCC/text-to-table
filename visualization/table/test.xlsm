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kec\1xia\数据科学基础\project\text-to-table\visualization\table\"/>
    </mc:Choice>
  </mc:AlternateContent>
  <xr:revisionPtr revIDLastSave="0" documentId="13_ncr:1_{3AC6C6ED-3399-4DA1-B0A6-B573BE81D7F5}" xr6:coauthVersionLast="47" xr6:coauthVersionMax="47" xr10:uidLastSave="{00000000-0000-0000-0000-000000000000}"/>
  <bookViews>
    <workbookView xWindow="5868" yWindow="564" windowWidth="18852" windowHeight="10860" xr2:uid="{00000000-000D-0000-FFFF-FFFF00000000}"/>
  </bookViews>
  <sheets>
    <sheet name="Players" sheetId="1" r:id="rId1"/>
    <sheet name="队伍统计1" sheetId="11" r:id="rId2"/>
    <sheet name="队伍统计2" sheetId="16" r:id="rId3"/>
    <sheet name="分析" sheetId="2" r:id="rId4"/>
  </sheets>
  <calcPr calcId="181029"/>
  <pivotCaches>
    <pivotCache cacheId="0" r:id="rId5"/>
    <pivotCache cacheId="1" r:id="rId6"/>
  </pivotCaches>
</workbook>
</file>

<file path=xl/calcChain.xml><?xml version="1.0" encoding="utf-8"?>
<calcChain xmlns="http://schemas.openxmlformats.org/spreadsheetml/2006/main">
  <c r="J25" i="2" l="1"/>
  <c r="J24" i="2"/>
  <c r="J23" i="2"/>
  <c r="J22" i="2"/>
  <c r="J21" i="2"/>
  <c r="I25" i="2"/>
  <c r="I24" i="2"/>
  <c r="I23" i="2"/>
  <c r="I22" i="2"/>
  <c r="I21" i="2"/>
  <c r="I20" i="2"/>
  <c r="H25" i="2"/>
  <c r="H24" i="2"/>
  <c r="H23" i="2"/>
  <c r="H22" i="2"/>
  <c r="H21" i="2"/>
  <c r="H20" i="2"/>
  <c r="G25" i="2"/>
  <c r="G24" i="2"/>
  <c r="G23" i="2"/>
  <c r="G22" i="2"/>
  <c r="G21" i="2"/>
  <c r="J20" i="2"/>
  <c r="J19" i="2"/>
  <c r="I19" i="2"/>
  <c r="G20" i="2"/>
  <c r="H19" i="2"/>
  <c r="G19" i="2"/>
</calcChain>
</file>

<file path=xl/sharedStrings.xml><?xml version="1.0" encoding="utf-8"?>
<sst xmlns="http://schemas.openxmlformats.org/spreadsheetml/2006/main" count="205" uniqueCount="54">
  <si>
    <t>Team name</t>
    <phoneticPr fontId="1" type="noConversion"/>
  </si>
  <si>
    <t>Points</t>
    <phoneticPr fontId="1" type="noConversion"/>
  </si>
  <si>
    <t>Atlanta Hawks</t>
    <phoneticPr fontId="1" type="noConversion"/>
  </si>
  <si>
    <t>Orlando Magic</t>
    <phoneticPr fontId="1" type="noConversion"/>
  </si>
  <si>
    <t>Name</t>
    <phoneticPr fontId="1" type="noConversion"/>
  </si>
  <si>
    <t>Team</t>
    <phoneticPr fontId="1" type="noConversion"/>
  </si>
  <si>
    <t>Rebounds</t>
    <phoneticPr fontId="1" type="noConversion"/>
  </si>
  <si>
    <t>Assists</t>
    <phoneticPr fontId="1" type="noConversion"/>
  </si>
  <si>
    <t>Steals</t>
    <phoneticPr fontId="1" type="noConversion"/>
  </si>
  <si>
    <t>Al Horford</t>
    <phoneticPr fontId="1" type="noConversion"/>
  </si>
  <si>
    <t>Nikola Vucevic</t>
    <phoneticPr fontId="1" type="noConversion"/>
  </si>
  <si>
    <t>Jeff Teague</t>
    <phoneticPr fontId="1" type="noConversion"/>
  </si>
  <si>
    <t>Kyle Korver</t>
    <phoneticPr fontId="1" type="noConversion"/>
  </si>
  <si>
    <t>总计</t>
  </si>
  <si>
    <t>Atlanta Hawks</t>
  </si>
  <si>
    <t>数据</t>
  </si>
  <si>
    <t>平均</t>
  </si>
  <si>
    <t>标准误差</t>
  </si>
  <si>
    <t>中位数</t>
  </si>
  <si>
    <t>众数</t>
  </si>
  <si>
    <t>标准差</t>
  </si>
  <si>
    <t>方差</t>
  </si>
  <si>
    <t>峰度</t>
  </si>
  <si>
    <t>偏度</t>
  </si>
  <si>
    <t>区域</t>
  </si>
  <si>
    <t>最小值</t>
  </si>
  <si>
    <t>最大值</t>
  </si>
  <si>
    <t>求和</t>
  </si>
  <si>
    <t>观测数</t>
  </si>
  <si>
    <t>置信度(95.0%)</t>
  </si>
  <si>
    <t>Brooklyn Nets</t>
  </si>
  <si>
    <t>Brooklyn Nets</t>
    <phoneticPr fontId="1" type="noConversion"/>
  </si>
  <si>
    <t>Washington Wizards</t>
  </si>
  <si>
    <t>Washington Wizards</t>
    <phoneticPr fontId="1" type="noConversion"/>
  </si>
  <si>
    <t>Portland Trail Blazers</t>
  </si>
  <si>
    <t>Portland Trail Blazers</t>
    <phoneticPr fontId="1" type="noConversion"/>
  </si>
  <si>
    <t>Memphis Grizzlies</t>
  </si>
  <si>
    <t>Memphis Grizzlies</t>
    <phoneticPr fontId="1" type="noConversion"/>
  </si>
  <si>
    <t>Orlando Magic</t>
  </si>
  <si>
    <t>New York Knicks</t>
  </si>
  <si>
    <t>New York Knicks</t>
    <phoneticPr fontId="1" type="noConversion"/>
  </si>
  <si>
    <r>
      <t>W</t>
    </r>
    <r>
      <rPr>
        <sz val="11"/>
        <color theme="1"/>
        <rFont val="等线"/>
        <family val="3"/>
        <charset val="134"/>
        <scheme val="minor"/>
      </rPr>
      <t>in</t>
    </r>
    <phoneticPr fontId="1" type="noConversion"/>
  </si>
  <si>
    <t>Team name</t>
  </si>
  <si>
    <t>胜率</t>
  </si>
  <si>
    <t>场均分数</t>
  </si>
  <si>
    <t>平均</t>
    <phoneticPr fontId="1" type="noConversion"/>
  </si>
  <si>
    <t>方差</t>
    <phoneticPr fontId="1" type="noConversion"/>
  </si>
  <si>
    <t xml:space="preserve">team of point </t>
  </si>
  <si>
    <t xml:space="preserve">team of point </t>
    <phoneticPr fontId="1" type="noConversion"/>
  </si>
  <si>
    <t>最大值</t>
    <phoneticPr fontId="1" type="noConversion"/>
  </si>
  <si>
    <t>最小值</t>
    <phoneticPr fontId="1" type="noConversion"/>
  </si>
  <si>
    <t>得分方差</t>
  </si>
  <si>
    <t>最大得分</t>
  </si>
  <si>
    <t>最小得分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</si>
</sst>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4" x14ac:knownFonts="1">
    <font>
      <sz val="11"/>
      <color theme="1"/>
      <name val="等线"/>
      <charset val="134"/>
      <scheme val="minor"/>
    </font>
    <font>
      <sz val="9"/>
      <name val="等线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999999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2" fillId="0" borderId="11" xfId="0" applyFont="1" applyBorder="1" applyAlignment="1">
      <alignment horizontal="centerContinuous"/>
    </xf>
    <xf numFmtId="0" fontId="2" fillId="0" borderId="0" xfId="0" applyFont="1"/>
    <xf numFmtId="176" fontId="0" fillId="0" borderId="6" xfId="0" applyNumberFormat="1" applyBorder="1"/>
    <xf numFmtId="176" fontId="0" fillId="0" borderId="12" xfId="0" applyNumberFormat="1" applyBorder="1"/>
    <xf numFmtId="176" fontId="0" fillId="0" borderId="7" xfId="0" applyNumberFormat="1" applyBorder="1"/>
    <xf numFmtId="9" fontId="0" fillId="0" borderId="6" xfId="0" applyNumberFormat="1" applyBorder="1"/>
    <xf numFmtId="9" fontId="0" fillId="0" borderId="12" xfId="0" applyNumberFormat="1" applyBorder="1"/>
    <xf numFmtId="9" fontId="0" fillId="0" borderId="7" xfId="0" applyNumberFormat="1" applyBorder="1"/>
    <xf numFmtId="176" fontId="0" fillId="0" borderId="1" xfId="0" applyNumberFormat="1" applyBorder="1"/>
    <xf numFmtId="176" fontId="0" fillId="0" borderId="4" xfId="0" applyNumberFormat="1" applyBorder="1"/>
    <xf numFmtId="176" fontId="0" fillId="0" borderId="5" xfId="0" applyNumberFormat="1" applyBorder="1"/>
    <xf numFmtId="176" fontId="0" fillId="0" borderId="8" xfId="0" applyNumberFormat="1" applyBorder="1"/>
    <xf numFmtId="176" fontId="0" fillId="0" borderId="0" xfId="0" applyNumberFormat="1"/>
    <xf numFmtId="176" fontId="0" fillId="0" borderId="9" xfId="0" applyNumberFormat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[test.xlsm]队伍统计1!数据透视表4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队伍统计1!$B$1:$B$2</c:f>
              <c:strCache>
                <c:ptCount val="1"/>
                <c:pt idx="0">
                  <c:v>场均分数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队伍统计1!$A$3:$A$10</c:f>
              <c:strCache>
                <c:ptCount val="7"/>
                <c:pt idx="0">
                  <c:v>Atlanta Hawks</c:v>
                </c:pt>
                <c:pt idx="1">
                  <c:v>Brooklyn Nets</c:v>
                </c:pt>
                <c:pt idx="2">
                  <c:v>Memphis Grizzlies</c:v>
                </c:pt>
                <c:pt idx="3">
                  <c:v>New York Knicks</c:v>
                </c:pt>
                <c:pt idx="4">
                  <c:v>Orlando Magic</c:v>
                </c:pt>
                <c:pt idx="5">
                  <c:v>Portland Trail Blazers</c:v>
                </c:pt>
                <c:pt idx="6">
                  <c:v>Washington Wizards</c:v>
                </c:pt>
              </c:strCache>
            </c:strRef>
          </c:cat>
          <c:val>
            <c:numRef>
              <c:f>队伍统计1!$B$3:$B$10</c:f>
              <c:numCache>
                <c:formatCode>0.00_ </c:formatCode>
                <c:ptCount val="7"/>
                <c:pt idx="0">
                  <c:v>107.5</c:v>
                </c:pt>
                <c:pt idx="1">
                  <c:v>103.5</c:v>
                </c:pt>
                <c:pt idx="2">
                  <c:v>105.2</c:v>
                </c:pt>
                <c:pt idx="3">
                  <c:v>95.5</c:v>
                </c:pt>
                <c:pt idx="4">
                  <c:v>92.333333333333329</c:v>
                </c:pt>
                <c:pt idx="5">
                  <c:v>104.16666666666667</c:v>
                </c:pt>
                <c:pt idx="6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27-4EE9-A67E-E3CC586D3FE2}"/>
            </c:ext>
          </c:extLst>
        </c:ser>
        <c:ser>
          <c:idx val="1"/>
          <c:order val="1"/>
          <c:tx>
            <c:strRef>
              <c:f>队伍统计1!$C$1:$C$2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队伍统计1!$A$3:$A$10</c:f>
              <c:strCache>
                <c:ptCount val="7"/>
                <c:pt idx="0">
                  <c:v>Atlanta Hawks</c:v>
                </c:pt>
                <c:pt idx="1">
                  <c:v>Brooklyn Nets</c:v>
                </c:pt>
                <c:pt idx="2">
                  <c:v>Memphis Grizzlies</c:v>
                </c:pt>
                <c:pt idx="3">
                  <c:v>New York Knicks</c:v>
                </c:pt>
                <c:pt idx="4">
                  <c:v>Orlando Magic</c:v>
                </c:pt>
                <c:pt idx="5">
                  <c:v>Portland Trail Blazers</c:v>
                </c:pt>
                <c:pt idx="6">
                  <c:v>Washington Wizards</c:v>
                </c:pt>
              </c:strCache>
            </c:strRef>
          </c:cat>
          <c:val>
            <c:numRef>
              <c:f>队伍统计1!$C$3:$C$10</c:f>
              <c:numCache>
                <c:formatCode>0%</c:formatCode>
                <c:ptCount val="7"/>
                <c:pt idx="0">
                  <c:v>1</c:v>
                </c:pt>
                <c:pt idx="1">
                  <c:v>0.33333333333333331</c:v>
                </c:pt>
                <c:pt idx="2">
                  <c:v>0.8</c:v>
                </c:pt>
                <c:pt idx="3">
                  <c:v>0</c:v>
                </c:pt>
                <c:pt idx="4">
                  <c:v>0.33333333333333331</c:v>
                </c:pt>
                <c:pt idx="5">
                  <c:v>0.66666666666666663</c:v>
                </c:pt>
                <c:pt idx="6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F27-4EE9-A67E-E3CC586D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5635840"/>
        <c:axId val="1355625760"/>
      </c:barChart>
      <c:catAx>
        <c:axId val="135563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5625760"/>
        <c:crosses val="autoZero"/>
        <c:auto val="1"/>
        <c:lblAlgn val="ctr"/>
        <c:lblOffset val="100"/>
        <c:noMultiLvlLbl val="0"/>
      </c:catAx>
      <c:valAx>
        <c:axId val="135562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5563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[test.xlsm]队伍统计2!数据透视表7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203488061644877"/>
          <c:y val="6.0185185185185182E-2"/>
          <c:w val="0.65766638325138937"/>
          <c:h val="0.603238188976377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队伍统计2!$B$1:$B$2</c:f>
              <c:strCache>
                <c:ptCount val="1"/>
                <c:pt idx="0">
                  <c:v>场均分数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队伍统计2!$A$3:$A$10</c:f>
              <c:strCache>
                <c:ptCount val="7"/>
                <c:pt idx="0">
                  <c:v>Atlanta Hawks</c:v>
                </c:pt>
                <c:pt idx="1">
                  <c:v>Brooklyn Nets</c:v>
                </c:pt>
                <c:pt idx="2">
                  <c:v>Memphis Grizzlies</c:v>
                </c:pt>
                <c:pt idx="3">
                  <c:v>New York Knicks</c:v>
                </c:pt>
                <c:pt idx="4">
                  <c:v>Orlando Magic</c:v>
                </c:pt>
                <c:pt idx="5">
                  <c:v>Portland Trail Blazers</c:v>
                </c:pt>
                <c:pt idx="6">
                  <c:v>Washington Wizards</c:v>
                </c:pt>
              </c:strCache>
            </c:strRef>
          </c:cat>
          <c:val>
            <c:numRef>
              <c:f>队伍统计2!$B$3:$B$10</c:f>
              <c:numCache>
                <c:formatCode>0.00_ </c:formatCode>
                <c:ptCount val="7"/>
                <c:pt idx="0">
                  <c:v>107.5</c:v>
                </c:pt>
                <c:pt idx="1">
                  <c:v>103.5</c:v>
                </c:pt>
                <c:pt idx="2">
                  <c:v>105.2</c:v>
                </c:pt>
                <c:pt idx="3">
                  <c:v>95.5</c:v>
                </c:pt>
                <c:pt idx="4">
                  <c:v>92.333333333333329</c:v>
                </c:pt>
                <c:pt idx="5">
                  <c:v>104.16666666666667</c:v>
                </c:pt>
                <c:pt idx="6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2-4CE2-81EF-7E8931B00523}"/>
            </c:ext>
          </c:extLst>
        </c:ser>
        <c:ser>
          <c:idx val="1"/>
          <c:order val="1"/>
          <c:tx>
            <c:strRef>
              <c:f>队伍统计2!$C$1:$C$2</c:f>
              <c:strCache>
                <c:ptCount val="1"/>
                <c:pt idx="0">
                  <c:v>得分方差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队伍统计2!$A$3:$A$10</c:f>
              <c:strCache>
                <c:ptCount val="7"/>
                <c:pt idx="0">
                  <c:v>Atlanta Hawks</c:v>
                </c:pt>
                <c:pt idx="1">
                  <c:v>Brooklyn Nets</c:v>
                </c:pt>
                <c:pt idx="2">
                  <c:v>Memphis Grizzlies</c:v>
                </c:pt>
                <c:pt idx="3">
                  <c:v>New York Knicks</c:v>
                </c:pt>
                <c:pt idx="4">
                  <c:v>Orlando Magic</c:v>
                </c:pt>
                <c:pt idx="5">
                  <c:v>Portland Trail Blazers</c:v>
                </c:pt>
                <c:pt idx="6">
                  <c:v>Washington Wizards</c:v>
                </c:pt>
              </c:strCache>
            </c:strRef>
          </c:cat>
          <c:val>
            <c:numRef>
              <c:f>队伍统计2!$C$3:$C$10</c:f>
              <c:numCache>
                <c:formatCode>0.00_ </c:formatCode>
                <c:ptCount val="7"/>
                <c:pt idx="0">
                  <c:v>55.1</c:v>
                </c:pt>
                <c:pt idx="1">
                  <c:v>132.69999999999999</c:v>
                </c:pt>
                <c:pt idx="2">
                  <c:v>21.700000000000003</c:v>
                </c:pt>
                <c:pt idx="3">
                  <c:v>185.1</c:v>
                </c:pt>
                <c:pt idx="4">
                  <c:v>50.666666666666671</c:v>
                </c:pt>
                <c:pt idx="5">
                  <c:v>87.766666666666666</c:v>
                </c:pt>
                <c:pt idx="6">
                  <c:v>213.5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2-4CE2-81EF-7E8931B00523}"/>
            </c:ext>
          </c:extLst>
        </c:ser>
        <c:ser>
          <c:idx val="2"/>
          <c:order val="2"/>
          <c:tx>
            <c:strRef>
              <c:f>队伍统计2!$D$1:$D$2</c:f>
              <c:strCache>
                <c:ptCount val="1"/>
                <c:pt idx="0">
                  <c:v>最大得分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队伍统计2!$A$3:$A$10</c:f>
              <c:strCache>
                <c:ptCount val="7"/>
                <c:pt idx="0">
                  <c:v>Atlanta Hawks</c:v>
                </c:pt>
                <c:pt idx="1">
                  <c:v>Brooklyn Nets</c:v>
                </c:pt>
                <c:pt idx="2">
                  <c:v>Memphis Grizzlies</c:v>
                </c:pt>
                <c:pt idx="3">
                  <c:v>New York Knicks</c:v>
                </c:pt>
                <c:pt idx="4">
                  <c:v>Orlando Magic</c:v>
                </c:pt>
                <c:pt idx="5">
                  <c:v>Portland Trail Blazers</c:v>
                </c:pt>
                <c:pt idx="6">
                  <c:v>Washington Wizards</c:v>
                </c:pt>
              </c:strCache>
            </c:strRef>
          </c:cat>
          <c:val>
            <c:numRef>
              <c:f>队伍统计2!$D$3:$D$10</c:f>
              <c:numCache>
                <c:formatCode>0.00_ </c:formatCode>
                <c:ptCount val="7"/>
                <c:pt idx="0">
                  <c:v>116</c:v>
                </c:pt>
                <c:pt idx="1">
                  <c:v>117</c:v>
                </c:pt>
                <c:pt idx="2">
                  <c:v>112</c:v>
                </c:pt>
                <c:pt idx="3">
                  <c:v>112</c:v>
                </c:pt>
                <c:pt idx="4">
                  <c:v>102</c:v>
                </c:pt>
                <c:pt idx="5">
                  <c:v>121</c:v>
                </c:pt>
                <c:pt idx="6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82-4CE2-81EF-7E8931B00523}"/>
            </c:ext>
          </c:extLst>
        </c:ser>
        <c:ser>
          <c:idx val="3"/>
          <c:order val="3"/>
          <c:tx>
            <c:strRef>
              <c:f>队伍统计2!$E$1:$E$2</c:f>
              <c:strCache>
                <c:ptCount val="1"/>
                <c:pt idx="0">
                  <c:v>最小得分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队伍统计2!$A$3:$A$10</c:f>
              <c:strCache>
                <c:ptCount val="7"/>
                <c:pt idx="0">
                  <c:v>Atlanta Hawks</c:v>
                </c:pt>
                <c:pt idx="1">
                  <c:v>Brooklyn Nets</c:v>
                </c:pt>
                <c:pt idx="2">
                  <c:v>Memphis Grizzlies</c:v>
                </c:pt>
                <c:pt idx="3">
                  <c:v>New York Knicks</c:v>
                </c:pt>
                <c:pt idx="4">
                  <c:v>Orlando Magic</c:v>
                </c:pt>
                <c:pt idx="5">
                  <c:v>Portland Trail Blazers</c:v>
                </c:pt>
                <c:pt idx="6">
                  <c:v>Washington Wizards</c:v>
                </c:pt>
              </c:strCache>
            </c:strRef>
          </c:cat>
          <c:val>
            <c:numRef>
              <c:f>队伍统计2!$E$3:$E$10</c:f>
              <c:numCache>
                <c:formatCode>0.00_ </c:formatCode>
                <c:ptCount val="7"/>
                <c:pt idx="0">
                  <c:v>95</c:v>
                </c:pt>
                <c:pt idx="1">
                  <c:v>87</c:v>
                </c:pt>
                <c:pt idx="2">
                  <c:v>101</c:v>
                </c:pt>
                <c:pt idx="3">
                  <c:v>82</c:v>
                </c:pt>
                <c:pt idx="4">
                  <c:v>84</c:v>
                </c:pt>
                <c:pt idx="5">
                  <c:v>97</c:v>
                </c:pt>
                <c:pt idx="6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2-4CE2-81EF-7E8931B00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658768"/>
        <c:axId val="1581643408"/>
      </c:barChart>
      <c:catAx>
        <c:axId val="158165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81643408"/>
        <c:crosses val="autoZero"/>
        <c:auto val="1"/>
        <c:lblAlgn val="ctr"/>
        <c:lblOffset val="100"/>
        <c:noMultiLvlLbl val="0"/>
      </c:catAx>
      <c:valAx>
        <c:axId val="158164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8165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</xdr:colOff>
      <xdr:row>4</xdr:row>
      <xdr:rowOff>68580</xdr:rowOff>
    </xdr:from>
    <xdr:to>
      <xdr:col>11</xdr:col>
      <xdr:colOff>373380</xdr:colOff>
      <xdr:row>20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4021E10-4A2D-26F9-B615-C94EAD634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3</xdr:row>
      <xdr:rowOff>15240</xdr:rowOff>
    </xdr:from>
    <xdr:to>
      <xdr:col>11</xdr:col>
      <xdr:colOff>434340</xdr:colOff>
      <xdr:row>18</xdr:row>
      <xdr:rowOff>129540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42E438B-3D3F-07F5-9772-464C5EFFD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lkbus" refreshedDate="45078.666553356481" createdVersion="1" refreshedVersion="8" recordCount="40" upgradeOnRefresh="1" xr:uid="{00000000-000A-0000-FFFF-FFFF14000000}">
  <cacheSource type="worksheet">
    <worksheetSource ref="A1:C41" sheet="分析"/>
  </cacheSource>
  <cacheFields count="3">
    <cacheField name="Team name" numFmtId="0">
      <sharedItems count="7">
        <s v="Atlanta Hawks"/>
        <s v="Brooklyn Nets"/>
        <s v="Memphis Grizzlies"/>
        <s v="New York Knicks"/>
        <s v="Orlando Magic"/>
        <s v="Portland Trail Blazers"/>
        <s v="Washington Wizards"/>
      </sharedItems>
    </cacheField>
    <cacheField name="Points" numFmtId="0">
      <sharedItems containsSemiMixedTypes="0" containsString="0" containsNumber="1" containsInteger="1" minValue="80" maxValue="121" count="30">
        <n v="95"/>
        <n v="114"/>
        <n v="106"/>
        <n v="108"/>
        <n v="116"/>
        <n v="117"/>
        <n v="103"/>
        <n v="87"/>
        <n v="111"/>
        <n v="110"/>
        <n v="93"/>
        <n v="112"/>
        <n v="102"/>
        <n v="101"/>
        <n v="107"/>
        <n v="104"/>
        <n v="83"/>
        <n v="82"/>
        <n v="85"/>
        <n v="88"/>
        <n v="89"/>
        <n v="100"/>
        <n v="84"/>
        <n v="91"/>
        <n v="98"/>
        <n v="97"/>
        <n v="121"/>
        <n v="80"/>
        <n v="90"/>
        <n v="119"/>
      </sharedItems>
    </cacheField>
    <cacheField name="Win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lkbus" refreshedDate="45078.704826851848" createdVersion="1" refreshedVersion="8" recordCount="7" upgradeOnRefresh="1" xr:uid="{00000000-000A-0000-FFFF-FFFF17000000}">
  <cacheSource type="worksheet">
    <worksheetSource ref="F18:J25" sheet="分析"/>
  </cacheSource>
  <cacheFields count="5">
    <cacheField name="team of point " numFmtId="0">
      <sharedItems count="7">
        <s v="Atlanta Hawks"/>
        <s v="Memphis Grizzlies"/>
        <s v="New York Knicks"/>
        <s v="Orlando Magic"/>
        <s v="Portland Trail Blazers"/>
        <s v="Washington Wizards"/>
        <s v="Brooklyn Nets"/>
      </sharedItems>
    </cacheField>
    <cacheField name="平均" numFmtId="0">
      <sharedItems containsSemiMixedTypes="0" containsString="0" containsNumber="1" minValue="92.333333333333329" maxValue="107.5"/>
    </cacheField>
    <cacheField name="方差" numFmtId="0">
      <sharedItems containsSemiMixedTypes="0" containsString="0" containsNumber="1" minValue="21.700000000000003" maxValue="213.5"/>
    </cacheField>
    <cacheField name="最大值" numFmtId="0">
      <sharedItems containsSemiMixedTypes="0" containsString="0" containsNumber="1" containsInteger="1" minValue="102" maxValue="121"/>
    </cacheField>
    <cacheField name="最小值" numFmtId="0">
      <sharedItems containsSemiMixedTypes="0" containsString="0" containsNumber="1" containsInteger="1" minValue="80" maxValue="1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n v="1"/>
  </r>
  <r>
    <x v="0"/>
    <x v="1"/>
    <n v="1"/>
  </r>
  <r>
    <x v="0"/>
    <x v="2"/>
    <n v="1"/>
  </r>
  <r>
    <x v="0"/>
    <x v="3"/>
    <n v="1"/>
  </r>
  <r>
    <x v="0"/>
    <x v="2"/>
    <n v="1"/>
  </r>
  <r>
    <x v="0"/>
    <x v="4"/>
    <n v="1"/>
  </r>
  <r>
    <x v="1"/>
    <x v="5"/>
    <n v="1"/>
  </r>
  <r>
    <x v="1"/>
    <x v="6"/>
    <n v="0"/>
  </r>
  <r>
    <x v="1"/>
    <x v="7"/>
    <n v="0"/>
  </r>
  <r>
    <x v="1"/>
    <x v="8"/>
    <n v="0"/>
  </r>
  <r>
    <x v="1"/>
    <x v="9"/>
    <n v="1"/>
  </r>
  <r>
    <x v="1"/>
    <x v="10"/>
    <n v="0"/>
  </r>
  <r>
    <x v="2"/>
    <x v="11"/>
    <n v="1"/>
  </r>
  <r>
    <x v="2"/>
    <x v="12"/>
    <n v="1"/>
  </r>
  <r>
    <x v="2"/>
    <x v="3"/>
    <n v="1"/>
  </r>
  <r>
    <x v="2"/>
    <x v="6"/>
    <n v="1"/>
  </r>
  <r>
    <x v="2"/>
    <x v="13"/>
    <n v="0"/>
  </r>
  <r>
    <x v="3"/>
    <x v="14"/>
    <n v="0"/>
  </r>
  <r>
    <x v="3"/>
    <x v="15"/>
    <n v="0"/>
  </r>
  <r>
    <x v="3"/>
    <x v="16"/>
    <n v="0"/>
  </r>
  <r>
    <x v="3"/>
    <x v="11"/>
    <n v="0"/>
  </r>
  <r>
    <x v="3"/>
    <x v="17"/>
    <n v="0"/>
  </r>
  <r>
    <x v="3"/>
    <x v="18"/>
    <n v="0"/>
  </r>
  <r>
    <x v="4"/>
    <x v="19"/>
    <n v="0"/>
  </r>
  <r>
    <x v="4"/>
    <x v="12"/>
    <n v="0"/>
  </r>
  <r>
    <x v="4"/>
    <x v="20"/>
    <n v="1"/>
  </r>
  <r>
    <x v="4"/>
    <x v="21"/>
    <n v="1"/>
  </r>
  <r>
    <x v="4"/>
    <x v="22"/>
    <n v="0"/>
  </r>
  <r>
    <x v="4"/>
    <x v="23"/>
    <n v="0"/>
  </r>
  <r>
    <x v="5"/>
    <x v="3"/>
    <n v="1"/>
  </r>
  <r>
    <x v="5"/>
    <x v="24"/>
    <n v="0"/>
  </r>
  <r>
    <x v="5"/>
    <x v="25"/>
    <n v="1"/>
  </r>
  <r>
    <x v="5"/>
    <x v="25"/>
    <n v="0"/>
  </r>
  <r>
    <x v="5"/>
    <x v="26"/>
    <n v="1"/>
  </r>
  <r>
    <x v="5"/>
    <x v="15"/>
    <n v="1"/>
  </r>
  <r>
    <x v="6"/>
    <x v="27"/>
    <n v="0"/>
  </r>
  <r>
    <x v="6"/>
    <x v="24"/>
    <n v="0"/>
  </r>
  <r>
    <x v="6"/>
    <x v="28"/>
    <n v="0"/>
  </r>
  <r>
    <x v="6"/>
    <x v="29"/>
    <n v="1"/>
  </r>
  <r>
    <x v="6"/>
    <x v="6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n v="107.5"/>
    <n v="55.1"/>
    <n v="116"/>
    <n v="95"/>
  </r>
  <r>
    <x v="1"/>
    <n v="105.2"/>
    <n v="21.700000000000003"/>
    <n v="112"/>
    <n v="101"/>
  </r>
  <r>
    <x v="2"/>
    <n v="95.5"/>
    <n v="185.1"/>
    <n v="112"/>
    <n v="82"/>
  </r>
  <r>
    <x v="3"/>
    <n v="92.333333333333329"/>
    <n v="50.666666666666671"/>
    <n v="102"/>
    <n v="84"/>
  </r>
  <r>
    <x v="4"/>
    <n v="104.16666666666667"/>
    <n v="87.766666666666666"/>
    <n v="121"/>
    <n v="97"/>
  </r>
  <r>
    <x v="5"/>
    <n v="98"/>
    <n v="213.5"/>
    <n v="119"/>
    <n v="80"/>
  </r>
  <r>
    <x v="6"/>
    <n v="103.5"/>
    <n v="132.69999999999999"/>
    <n v="117"/>
    <n v="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数据透视表4" cacheId="0" applyNumberFormats="0" applyBorderFormats="0" applyFontFormats="0" applyPatternFormats="0" applyAlignmentFormats="0" applyWidthHeightFormats="1" dataCaption="数据" updatedVersion="8" showMemberPropertyTips="0" useAutoFormatting="1" itemPrintTitles="1" createdVersion="1" indent="0" compact="0" compactData="0" gridDropZones="1" chartFormat="1">
  <location ref="A1:C10" firstHeaderRow="1" firstDataRow="2" firstDataCol="1"/>
  <pivotFields count="3">
    <pivotField axis="axisRow"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  <pivotField dataField="1" compact="0" outline="0" showAll="0" includeNewItemsInFilter="1">
      <items count="31">
        <item x="27"/>
        <item x="17"/>
        <item x="16"/>
        <item x="22"/>
        <item x="18"/>
        <item x="7"/>
        <item x="19"/>
        <item x="20"/>
        <item x="28"/>
        <item x="23"/>
        <item x="10"/>
        <item x="0"/>
        <item x="25"/>
        <item x="24"/>
        <item x="21"/>
        <item x="13"/>
        <item x="12"/>
        <item x="6"/>
        <item x="15"/>
        <item x="2"/>
        <item x="14"/>
        <item x="3"/>
        <item x="9"/>
        <item x="8"/>
        <item x="11"/>
        <item x="1"/>
        <item x="4"/>
        <item x="5"/>
        <item x="29"/>
        <item x="26"/>
        <item t="default"/>
      </items>
    </pivotField>
    <pivotField dataField="1" compact="0" outline="0" showAll="0" includeNewItemsInFilter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场均分数" fld="1" subtotal="average" baseField="0" baseItem="0" numFmtId="176"/>
    <dataField name="胜率" fld="2" subtotal="average" baseField="0" baseItem="0" numFmtId="9"/>
  </dataFields>
  <chartFormats count="3">
    <chartFormat chart="0" format="0" series="1">
      <pivotArea type="data" outline="0" fieldPosition="0"/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7" cacheId="1" applyNumberFormats="0" applyBorderFormats="0" applyFontFormats="0" applyPatternFormats="0" applyAlignmentFormats="0" applyWidthHeightFormats="1" dataCaption="数据" updatedVersion="8" showMemberPropertyTips="0" useAutoFormatting="1" itemPrintTitles="1" createdVersion="1" indent="0" compact="0" compactData="0" gridDropZones="1" chartFormat="1">
  <location ref="A1:E10" firstHeaderRow="1" firstDataRow="2" firstDataCol="1"/>
  <pivotFields count="5">
    <pivotField axis="axisRow" compact="0" outline="0" showAll="0" includeNewItemsInFilter="1">
      <items count="8">
        <item x="0"/>
        <item x="6"/>
        <item x="1"/>
        <item x="2"/>
        <item x="3"/>
        <item x="4"/>
        <item x="5"/>
        <item t="default"/>
      </items>
    </pivotField>
    <pivotField dataField="1" compact="0" outline="0" showAll="0" includeNewItemsInFilter="1"/>
    <pivotField dataField="1" compact="0" outline="0" showAll="0" includeNewItemsInFilter="1"/>
    <pivotField dataField="1" compact="0" outline="0" showAll="0" includeNewItemsInFilter="1"/>
    <pivotField dataField="1" compact="0" outline="0" showAll="0" includeNewItemsInFilter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场均分数" fld="1" baseField="0" baseItem="0" numFmtId="176"/>
    <dataField name="得分方差" fld="2" baseField="0" baseItem="0" numFmtId="176"/>
    <dataField name="最大得分" fld="3" baseField="0" baseItem="0" numFmtId="176"/>
    <dataField name="最小得分" fld="4" baseField="0" baseItem="0" numFmtId="176"/>
  </dataFields>
  <chartFormats count="5">
    <chartFormat chart="0" format="0" series="1">
      <pivotArea type="data" outline="0" fieldPosition="0"/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tabSelected="1" topLeftCell="B1" zoomScaleNormal="100" workbookViewId="0">
      <selection activeCell="H9" sqref="H9"/>
    </sheetView>
  </sheetViews>
  <sheetFormatPr defaultRowHeight="13.8" x14ac:dyDescent="0.25"/>
  <cols>
    <col min="1" max="1" width="15.77734375" customWidth="1"/>
    <col min="2" max="2" width="16.33203125" customWidth="1"/>
  </cols>
  <sheetData>
    <row r="1" spans="1:7" x14ac:dyDescent="0.25">
      <c r="A1" t="s">
        <v>4</v>
      </c>
      <c r="B1" t="s">
        <v>4</v>
      </c>
      <c r="C1" t="s">
        <v>5</v>
      </c>
      <c r="D1" t="s">
        <v>1</v>
      </c>
      <c r="E1" t="s">
        <v>6</v>
      </c>
      <c r="F1" t="s">
        <v>7</v>
      </c>
      <c r="G1" t="s">
        <v>8</v>
      </c>
    </row>
    <row r="2" spans="1:7" x14ac:dyDescent="0.25">
      <c r="A2" t="s">
        <v>9</v>
      </c>
      <c r="B2" t="s">
        <v>9</v>
      </c>
      <c r="C2" t="s">
        <v>2</v>
      </c>
      <c r="D2">
        <v>17</v>
      </c>
      <c r="E2">
        <v>13</v>
      </c>
      <c r="F2">
        <v>4</v>
      </c>
      <c r="G2">
        <v>2</v>
      </c>
    </row>
    <row r="3" spans="1:7" x14ac:dyDescent="0.25">
      <c r="A3" t="s">
        <v>10</v>
      </c>
      <c r="B3" t="s">
        <v>10</v>
      </c>
      <c r="C3" t="s">
        <v>2</v>
      </c>
      <c r="D3">
        <v>21</v>
      </c>
      <c r="E3">
        <v>15</v>
      </c>
      <c r="F3">
        <v>0</v>
      </c>
      <c r="G3">
        <v>0</v>
      </c>
    </row>
    <row r="4" spans="1:7" x14ac:dyDescent="0.25">
      <c r="A4" t="s">
        <v>11</v>
      </c>
      <c r="B4" t="s">
        <v>11</v>
      </c>
      <c r="C4" t="s">
        <v>2</v>
      </c>
      <c r="D4">
        <v>17</v>
      </c>
      <c r="E4">
        <v>1</v>
      </c>
      <c r="F4">
        <v>7</v>
      </c>
      <c r="G4">
        <v>2</v>
      </c>
    </row>
    <row r="5" spans="1:7" x14ac:dyDescent="0.25">
      <c r="A5" t="s">
        <v>12</v>
      </c>
      <c r="B5" t="s">
        <v>12</v>
      </c>
      <c r="C5" t="s">
        <v>2</v>
      </c>
      <c r="D5">
        <v>8</v>
      </c>
      <c r="E5">
        <v>4</v>
      </c>
      <c r="F5">
        <v>0</v>
      </c>
      <c r="G5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C10"/>
  <sheetViews>
    <sheetView workbookViewId="0">
      <selection activeCell="C25" sqref="C25"/>
    </sheetView>
  </sheetViews>
  <sheetFormatPr defaultRowHeight="13.8" x14ac:dyDescent="0.25"/>
  <cols>
    <col min="1" max="1" width="20.21875" bestFit="1" customWidth="1"/>
    <col min="2" max="2" width="9.5546875" bestFit="1" customWidth="1"/>
    <col min="3" max="3" width="5.5546875" bestFit="1" customWidth="1"/>
  </cols>
  <sheetData>
    <row r="1" spans="1:3" x14ac:dyDescent="0.25">
      <c r="A1" s="1"/>
      <c r="B1" s="4" t="s">
        <v>15</v>
      </c>
      <c r="C1" s="3"/>
    </row>
    <row r="2" spans="1:3" x14ac:dyDescent="0.25">
      <c r="A2" s="4" t="s">
        <v>42</v>
      </c>
      <c r="B2" s="1" t="s">
        <v>44</v>
      </c>
      <c r="C2" s="7" t="s">
        <v>43</v>
      </c>
    </row>
    <row r="3" spans="1:3" x14ac:dyDescent="0.25">
      <c r="A3" s="1" t="s">
        <v>14</v>
      </c>
      <c r="B3" s="18">
        <v>107.5</v>
      </c>
      <c r="C3" s="15">
        <v>1</v>
      </c>
    </row>
    <row r="4" spans="1:3" x14ac:dyDescent="0.25">
      <c r="A4" s="5" t="s">
        <v>30</v>
      </c>
      <c r="B4" s="19">
        <v>103.5</v>
      </c>
      <c r="C4" s="16">
        <v>0.33333333333333331</v>
      </c>
    </row>
    <row r="5" spans="1:3" x14ac:dyDescent="0.25">
      <c r="A5" s="5" t="s">
        <v>36</v>
      </c>
      <c r="B5" s="19">
        <v>105.2</v>
      </c>
      <c r="C5" s="16">
        <v>0.8</v>
      </c>
    </row>
    <row r="6" spans="1:3" x14ac:dyDescent="0.25">
      <c r="A6" s="5" t="s">
        <v>39</v>
      </c>
      <c r="B6" s="19">
        <v>95.5</v>
      </c>
      <c r="C6" s="16">
        <v>0</v>
      </c>
    </row>
    <row r="7" spans="1:3" x14ac:dyDescent="0.25">
      <c r="A7" s="5" t="s">
        <v>38</v>
      </c>
      <c r="B7" s="19">
        <v>92.333333333333329</v>
      </c>
      <c r="C7" s="16">
        <v>0.33333333333333331</v>
      </c>
    </row>
    <row r="8" spans="1:3" x14ac:dyDescent="0.25">
      <c r="A8" s="5" t="s">
        <v>34</v>
      </c>
      <c r="B8" s="19">
        <v>104.16666666666667</v>
      </c>
      <c r="C8" s="16">
        <v>0.66666666666666663</v>
      </c>
    </row>
    <row r="9" spans="1:3" x14ac:dyDescent="0.25">
      <c r="A9" s="5" t="s">
        <v>32</v>
      </c>
      <c r="B9" s="19">
        <v>98</v>
      </c>
      <c r="C9" s="16">
        <v>0.4</v>
      </c>
    </row>
    <row r="10" spans="1:3" x14ac:dyDescent="0.25">
      <c r="A10" s="6" t="s">
        <v>13</v>
      </c>
      <c r="B10" s="20">
        <v>100.85</v>
      </c>
      <c r="C10" s="17">
        <v>0.5</v>
      </c>
    </row>
  </sheetData>
  <phoneticPr fontId="3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"/>
  <sheetViews>
    <sheetView workbookViewId="0"/>
  </sheetViews>
  <sheetFormatPr defaultRowHeight="13.8" x14ac:dyDescent="0.25"/>
  <cols>
    <col min="1" max="1" width="20.21875" bestFit="1" customWidth="1"/>
    <col min="2" max="5" width="9.5546875" bestFit="1" customWidth="1"/>
  </cols>
  <sheetData>
    <row r="1" spans="1:5" x14ac:dyDescent="0.25">
      <c r="A1" s="1"/>
      <c r="B1" s="4" t="s">
        <v>15</v>
      </c>
      <c r="C1" s="2"/>
      <c r="D1" s="2"/>
      <c r="E1" s="3"/>
    </row>
    <row r="2" spans="1:5" x14ac:dyDescent="0.25">
      <c r="A2" s="4" t="s">
        <v>47</v>
      </c>
      <c r="B2" s="1" t="s">
        <v>44</v>
      </c>
      <c r="C2" s="8" t="s">
        <v>51</v>
      </c>
      <c r="D2" s="8" t="s">
        <v>52</v>
      </c>
      <c r="E2" s="7" t="s">
        <v>53</v>
      </c>
    </row>
    <row r="3" spans="1:5" x14ac:dyDescent="0.25">
      <c r="A3" s="1" t="s">
        <v>14</v>
      </c>
      <c r="B3" s="18">
        <v>107.5</v>
      </c>
      <c r="C3" s="21">
        <v>55.1</v>
      </c>
      <c r="D3" s="21">
        <v>116</v>
      </c>
      <c r="E3" s="12">
        <v>95</v>
      </c>
    </row>
    <row r="4" spans="1:5" x14ac:dyDescent="0.25">
      <c r="A4" s="5" t="s">
        <v>30</v>
      </c>
      <c r="B4" s="19">
        <v>103.5</v>
      </c>
      <c r="C4" s="22">
        <v>132.69999999999999</v>
      </c>
      <c r="D4" s="22">
        <v>117</v>
      </c>
      <c r="E4" s="13">
        <v>87</v>
      </c>
    </row>
    <row r="5" spans="1:5" x14ac:dyDescent="0.25">
      <c r="A5" s="5" t="s">
        <v>36</v>
      </c>
      <c r="B5" s="19">
        <v>105.2</v>
      </c>
      <c r="C5" s="22">
        <v>21.700000000000003</v>
      </c>
      <c r="D5" s="22">
        <v>112</v>
      </c>
      <c r="E5" s="13">
        <v>101</v>
      </c>
    </row>
    <row r="6" spans="1:5" x14ac:dyDescent="0.25">
      <c r="A6" s="5" t="s">
        <v>39</v>
      </c>
      <c r="B6" s="19">
        <v>95.5</v>
      </c>
      <c r="C6" s="22">
        <v>185.1</v>
      </c>
      <c r="D6" s="22">
        <v>112</v>
      </c>
      <c r="E6" s="13">
        <v>82</v>
      </c>
    </row>
    <row r="7" spans="1:5" x14ac:dyDescent="0.25">
      <c r="A7" s="5" t="s">
        <v>38</v>
      </c>
      <c r="B7" s="19">
        <v>92.333333333333329</v>
      </c>
      <c r="C7" s="22">
        <v>50.666666666666671</v>
      </c>
      <c r="D7" s="22">
        <v>102</v>
      </c>
      <c r="E7" s="13">
        <v>84</v>
      </c>
    </row>
    <row r="8" spans="1:5" x14ac:dyDescent="0.25">
      <c r="A8" s="5" t="s">
        <v>34</v>
      </c>
      <c r="B8" s="19">
        <v>104.16666666666667</v>
      </c>
      <c r="C8" s="22">
        <v>87.766666666666666</v>
      </c>
      <c r="D8" s="22">
        <v>121</v>
      </c>
      <c r="E8" s="13">
        <v>97</v>
      </c>
    </row>
    <row r="9" spans="1:5" x14ac:dyDescent="0.25">
      <c r="A9" s="5" t="s">
        <v>32</v>
      </c>
      <c r="B9" s="19">
        <v>98</v>
      </c>
      <c r="C9" s="22">
        <v>213.5</v>
      </c>
      <c r="D9" s="22">
        <v>119</v>
      </c>
      <c r="E9" s="13">
        <v>80</v>
      </c>
    </row>
    <row r="10" spans="1:5" x14ac:dyDescent="0.25">
      <c r="A10" s="6" t="s">
        <v>13</v>
      </c>
      <c r="B10" s="20">
        <v>706.19999999999993</v>
      </c>
      <c r="C10" s="23">
        <v>746.53333333333342</v>
      </c>
      <c r="D10" s="23">
        <v>799</v>
      </c>
      <c r="E10" s="14">
        <v>626</v>
      </c>
    </row>
  </sheetData>
  <phoneticPr fontId="3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41"/>
  <sheetViews>
    <sheetView topLeftCell="A5" workbookViewId="0">
      <selection activeCell="F18" sqref="F18:J25"/>
    </sheetView>
  </sheetViews>
  <sheetFormatPr defaultRowHeight="13.8" x14ac:dyDescent="0.25"/>
  <cols>
    <col min="1" max="1" width="13.44140625" customWidth="1"/>
    <col min="7" max="7" width="9.109375" bestFit="1" customWidth="1"/>
  </cols>
  <sheetData>
    <row r="1" spans="1:17" x14ac:dyDescent="0.25">
      <c r="A1" t="s">
        <v>0</v>
      </c>
      <c r="B1" t="s">
        <v>1</v>
      </c>
      <c r="C1" s="11" t="s">
        <v>41</v>
      </c>
      <c r="D1" s="10" t="s">
        <v>2</v>
      </c>
      <c r="E1" s="10"/>
      <c r="F1" s="10" t="s">
        <v>37</v>
      </c>
      <c r="G1" s="10"/>
      <c r="H1" s="10" t="s">
        <v>40</v>
      </c>
      <c r="I1" s="10"/>
      <c r="J1" s="10" t="s">
        <v>3</v>
      </c>
      <c r="K1" s="10"/>
      <c r="L1" s="10" t="s">
        <v>35</v>
      </c>
      <c r="M1" s="10"/>
      <c r="N1" s="10" t="s">
        <v>33</v>
      </c>
      <c r="O1" s="10"/>
      <c r="P1" s="10" t="s">
        <v>31</v>
      </c>
      <c r="Q1" s="10"/>
    </row>
    <row r="2" spans="1:17" x14ac:dyDescent="0.25">
      <c r="A2" s="11" t="s">
        <v>2</v>
      </c>
      <c r="B2">
        <v>95</v>
      </c>
      <c r="C2">
        <v>1</v>
      </c>
    </row>
    <row r="3" spans="1:17" x14ac:dyDescent="0.25">
      <c r="A3" s="11" t="s">
        <v>2</v>
      </c>
      <c r="B3">
        <v>114</v>
      </c>
      <c r="C3">
        <v>1</v>
      </c>
      <c r="D3" t="s">
        <v>16</v>
      </c>
      <c r="E3">
        <v>107.5</v>
      </c>
      <c r="F3" t="s">
        <v>16</v>
      </c>
      <c r="G3">
        <v>105.2</v>
      </c>
      <c r="H3" t="s">
        <v>16</v>
      </c>
      <c r="I3">
        <v>95.5</v>
      </c>
      <c r="J3" t="s">
        <v>16</v>
      </c>
      <c r="K3">
        <v>92.333333333333329</v>
      </c>
      <c r="L3" t="s">
        <v>16</v>
      </c>
      <c r="M3">
        <v>104.16666666666667</v>
      </c>
      <c r="N3" t="s">
        <v>16</v>
      </c>
      <c r="O3">
        <v>98</v>
      </c>
      <c r="P3" t="s">
        <v>16</v>
      </c>
      <c r="Q3">
        <v>103.5</v>
      </c>
    </row>
    <row r="4" spans="1:17" x14ac:dyDescent="0.25">
      <c r="A4" s="11" t="s">
        <v>2</v>
      </c>
      <c r="B4">
        <v>106</v>
      </c>
      <c r="C4">
        <v>1</v>
      </c>
      <c r="D4" t="s">
        <v>17</v>
      </c>
      <c r="E4">
        <v>3.0304015135511886</v>
      </c>
      <c r="F4" t="s">
        <v>17</v>
      </c>
      <c r="G4">
        <v>2.0832666655999659</v>
      </c>
      <c r="H4" t="s">
        <v>17</v>
      </c>
      <c r="I4">
        <v>5.5542776307995263</v>
      </c>
      <c r="J4" t="s">
        <v>17</v>
      </c>
      <c r="K4">
        <v>2.9059326290271161</v>
      </c>
      <c r="L4" t="s">
        <v>17</v>
      </c>
      <c r="M4">
        <v>3.8246277959793393</v>
      </c>
      <c r="N4" t="s">
        <v>17</v>
      </c>
      <c r="O4">
        <v>6.5345237010818158</v>
      </c>
      <c r="P4" t="s">
        <v>17</v>
      </c>
      <c r="Q4">
        <v>4.7028360237910354</v>
      </c>
    </row>
    <row r="5" spans="1:17" x14ac:dyDescent="0.25">
      <c r="A5" s="11" t="s">
        <v>2</v>
      </c>
      <c r="B5">
        <v>108</v>
      </c>
      <c r="C5">
        <v>1</v>
      </c>
      <c r="D5" t="s">
        <v>18</v>
      </c>
      <c r="E5">
        <v>107</v>
      </c>
      <c r="F5" t="s">
        <v>18</v>
      </c>
      <c r="G5">
        <v>103</v>
      </c>
      <c r="H5" t="s">
        <v>18</v>
      </c>
      <c r="I5">
        <v>94.5</v>
      </c>
      <c r="J5" t="s">
        <v>18</v>
      </c>
      <c r="K5">
        <v>90</v>
      </c>
      <c r="L5" t="s">
        <v>18</v>
      </c>
      <c r="M5">
        <v>101</v>
      </c>
      <c r="N5" t="s">
        <v>18</v>
      </c>
      <c r="O5">
        <v>98</v>
      </c>
      <c r="P5" t="s">
        <v>18</v>
      </c>
      <c r="Q5">
        <v>106.5</v>
      </c>
    </row>
    <row r="6" spans="1:17" x14ac:dyDescent="0.25">
      <c r="A6" s="11" t="s">
        <v>2</v>
      </c>
      <c r="B6">
        <v>106</v>
      </c>
      <c r="C6">
        <v>1</v>
      </c>
      <c r="D6" t="s">
        <v>19</v>
      </c>
      <c r="E6">
        <v>106</v>
      </c>
      <c r="F6" t="s">
        <v>19</v>
      </c>
      <c r="G6" t="e">
        <v>#N/A</v>
      </c>
      <c r="H6" t="s">
        <v>19</v>
      </c>
      <c r="I6" t="e">
        <v>#N/A</v>
      </c>
      <c r="J6" t="s">
        <v>19</v>
      </c>
      <c r="K6" t="e">
        <v>#N/A</v>
      </c>
      <c r="L6" t="s">
        <v>19</v>
      </c>
      <c r="M6">
        <v>97</v>
      </c>
      <c r="N6" t="s">
        <v>19</v>
      </c>
      <c r="O6" t="e">
        <v>#N/A</v>
      </c>
      <c r="P6" t="s">
        <v>19</v>
      </c>
      <c r="Q6" t="e">
        <v>#N/A</v>
      </c>
    </row>
    <row r="7" spans="1:17" x14ac:dyDescent="0.25">
      <c r="A7" s="11" t="s">
        <v>2</v>
      </c>
      <c r="B7">
        <v>116</v>
      </c>
      <c r="C7">
        <v>1</v>
      </c>
      <c r="D7" t="s">
        <v>20</v>
      </c>
      <c r="E7">
        <v>7.4229374239582544</v>
      </c>
      <c r="F7" t="s">
        <v>20</v>
      </c>
      <c r="G7">
        <v>4.6583258795408469</v>
      </c>
      <c r="H7" t="s">
        <v>20</v>
      </c>
      <c r="I7">
        <v>13.605146085213491</v>
      </c>
      <c r="J7" t="s">
        <v>20</v>
      </c>
      <c r="K7">
        <v>7.1180521680208741</v>
      </c>
      <c r="L7" t="s">
        <v>20</v>
      </c>
      <c r="M7">
        <v>9.3683865562148245</v>
      </c>
      <c r="N7" t="s">
        <v>20</v>
      </c>
      <c r="O7">
        <v>14.611639196202457</v>
      </c>
      <c r="P7" t="s">
        <v>20</v>
      </c>
      <c r="Q7">
        <v>11.519548602267365</v>
      </c>
    </row>
    <row r="8" spans="1:17" x14ac:dyDescent="0.25">
      <c r="A8" s="11" t="s">
        <v>31</v>
      </c>
      <c r="B8">
        <v>117</v>
      </c>
      <c r="C8">
        <v>1</v>
      </c>
      <c r="D8" t="s">
        <v>21</v>
      </c>
      <c r="E8">
        <v>55.1</v>
      </c>
      <c r="F8" t="s">
        <v>21</v>
      </c>
      <c r="G8">
        <v>21.700000000000003</v>
      </c>
      <c r="H8" t="s">
        <v>21</v>
      </c>
      <c r="I8">
        <v>185.1</v>
      </c>
      <c r="J8" t="s">
        <v>21</v>
      </c>
      <c r="K8">
        <v>50.666666666666671</v>
      </c>
      <c r="L8" t="s">
        <v>21</v>
      </c>
      <c r="M8">
        <v>87.766666666666666</v>
      </c>
      <c r="N8" t="s">
        <v>21</v>
      </c>
      <c r="O8">
        <v>213.5</v>
      </c>
      <c r="P8" t="s">
        <v>21</v>
      </c>
      <c r="Q8">
        <v>132.69999999999999</v>
      </c>
    </row>
    <row r="9" spans="1:17" x14ac:dyDescent="0.25">
      <c r="A9" s="11" t="s">
        <v>31</v>
      </c>
      <c r="B9">
        <v>103</v>
      </c>
      <c r="C9">
        <v>0</v>
      </c>
      <c r="D9" t="s">
        <v>22</v>
      </c>
      <c r="E9">
        <v>0.99653821957108057</v>
      </c>
      <c r="F9" t="s">
        <v>22</v>
      </c>
      <c r="G9">
        <v>-0.99449977701799686</v>
      </c>
      <c r="H9" t="s">
        <v>22</v>
      </c>
      <c r="I9">
        <v>-2.8459363592503752</v>
      </c>
      <c r="J9" t="s">
        <v>22</v>
      </c>
      <c r="K9">
        <v>-1.4812499999999975</v>
      </c>
      <c r="L9" t="s">
        <v>22</v>
      </c>
      <c r="M9">
        <v>1.6770592190129898</v>
      </c>
      <c r="N9" t="s">
        <v>22</v>
      </c>
      <c r="O9">
        <v>0.34145966905977687</v>
      </c>
      <c r="P9" t="s">
        <v>22</v>
      </c>
      <c r="Q9">
        <v>-1.3033177373988387</v>
      </c>
    </row>
    <row r="10" spans="1:17" x14ac:dyDescent="0.25">
      <c r="A10" s="11" t="s">
        <v>31</v>
      </c>
      <c r="B10">
        <v>87</v>
      </c>
      <c r="C10">
        <v>0</v>
      </c>
      <c r="D10" t="s">
        <v>23</v>
      </c>
      <c r="E10">
        <v>-0.78556717346707905</v>
      </c>
      <c r="F10" t="s">
        <v>23</v>
      </c>
      <c r="G10">
        <v>0.9022050164881894</v>
      </c>
      <c r="H10" t="s">
        <v>23</v>
      </c>
      <c r="I10">
        <v>0.12579852378175244</v>
      </c>
      <c r="J10" t="s">
        <v>23</v>
      </c>
      <c r="K10">
        <v>0.54439050298186253</v>
      </c>
      <c r="L10" t="s">
        <v>23</v>
      </c>
      <c r="M10">
        <v>1.4067399251602972</v>
      </c>
      <c r="N10" t="s">
        <v>23</v>
      </c>
      <c r="O10">
        <v>0.40630404776391288</v>
      </c>
      <c r="P10" t="s">
        <v>23</v>
      </c>
      <c r="Q10">
        <v>-0.48925711369599573</v>
      </c>
    </row>
    <row r="11" spans="1:17" x14ac:dyDescent="0.25">
      <c r="A11" s="11" t="s">
        <v>31</v>
      </c>
      <c r="B11">
        <v>111</v>
      </c>
      <c r="C11">
        <v>0</v>
      </c>
      <c r="D11" t="s">
        <v>24</v>
      </c>
      <c r="E11">
        <v>21</v>
      </c>
      <c r="F11" t="s">
        <v>24</v>
      </c>
      <c r="G11">
        <v>11</v>
      </c>
      <c r="H11" t="s">
        <v>24</v>
      </c>
      <c r="I11">
        <v>30</v>
      </c>
      <c r="J11" t="s">
        <v>24</v>
      </c>
      <c r="K11">
        <v>18</v>
      </c>
      <c r="L11" t="s">
        <v>24</v>
      </c>
      <c r="M11">
        <v>24</v>
      </c>
      <c r="N11" t="s">
        <v>24</v>
      </c>
      <c r="O11">
        <v>39</v>
      </c>
      <c r="P11" t="s">
        <v>24</v>
      </c>
      <c r="Q11">
        <v>30</v>
      </c>
    </row>
    <row r="12" spans="1:17" x14ac:dyDescent="0.25">
      <c r="A12" s="11" t="s">
        <v>31</v>
      </c>
      <c r="B12">
        <v>110</v>
      </c>
      <c r="C12">
        <v>1</v>
      </c>
      <c r="D12" t="s">
        <v>25</v>
      </c>
      <c r="E12">
        <v>95</v>
      </c>
      <c r="F12" t="s">
        <v>25</v>
      </c>
      <c r="G12">
        <v>101</v>
      </c>
      <c r="H12" t="s">
        <v>25</v>
      </c>
      <c r="I12">
        <v>82</v>
      </c>
      <c r="J12" t="s">
        <v>25</v>
      </c>
      <c r="K12">
        <v>84</v>
      </c>
      <c r="L12" t="s">
        <v>25</v>
      </c>
      <c r="M12">
        <v>97</v>
      </c>
      <c r="N12" t="s">
        <v>25</v>
      </c>
      <c r="O12">
        <v>80</v>
      </c>
      <c r="P12" t="s">
        <v>25</v>
      </c>
      <c r="Q12">
        <v>87</v>
      </c>
    </row>
    <row r="13" spans="1:17" x14ac:dyDescent="0.25">
      <c r="A13" s="11" t="s">
        <v>31</v>
      </c>
      <c r="B13">
        <v>93</v>
      </c>
      <c r="C13">
        <v>0</v>
      </c>
      <c r="D13" t="s">
        <v>26</v>
      </c>
      <c r="E13">
        <v>116</v>
      </c>
      <c r="F13" t="s">
        <v>26</v>
      </c>
      <c r="G13">
        <v>112</v>
      </c>
      <c r="H13" t="s">
        <v>26</v>
      </c>
      <c r="I13">
        <v>112</v>
      </c>
      <c r="J13" t="s">
        <v>26</v>
      </c>
      <c r="K13">
        <v>102</v>
      </c>
      <c r="L13" t="s">
        <v>26</v>
      </c>
      <c r="M13">
        <v>121</v>
      </c>
      <c r="N13" t="s">
        <v>26</v>
      </c>
      <c r="O13">
        <v>119</v>
      </c>
      <c r="P13" t="s">
        <v>26</v>
      </c>
      <c r="Q13">
        <v>117</v>
      </c>
    </row>
    <row r="14" spans="1:17" x14ac:dyDescent="0.25">
      <c r="A14" s="11" t="s">
        <v>37</v>
      </c>
      <c r="B14">
        <v>112</v>
      </c>
      <c r="C14">
        <v>1</v>
      </c>
      <c r="D14" t="s">
        <v>27</v>
      </c>
      <c r="E14">
        <v>645</v>
      </c>
      <c r="F14" t="s">
        <v>27</v>
      </c>
      <c r="G14">
        <v>526</v>
      </c>
      <c r="H14" t="s">
        <v>27</v>
      </c>
      <c r="I14">
        <v>573</v>
      </c>
      <c r="J14" t="s">
        <v>27</v>
      </c>
      <c r="K14">
        <v>554</v>
      </c>
      <c r="L14" t="s">
        <v>27</v>
      </c>
      <c r="M14">
        <v>625</v>
      </c>
      <c r="N14" t="s">
        <v>27</v>
      </c>
      <c r="O14">
        <v>490</v>
      </c>
      <c r="P14" t="s">
        <v>27</v>
      </c>
      <c r="Q14">
        <v>621</v>
      </c>
    </row>
    <row r="15" spans="1:17" x14ac:dyDescent="0.25">
      <c r="A15" s="11" t="s">
        <v>37</v>
      </c>
      <c r="B15">
        <v>102</v>
      </c>
      <c r="C15">
        <v>1</v>
      </c>
      <c r="D15" t="s">
        <v>28</v>
      </c>
      <c r="E15">
        <v>6</v>
      </c>
      <c r="F15" t="s">
        <v>28</v>
      </c>
      <c r="G15">
        <v>5</v>
      </c>
      <c r="H15" t="s">
        <v>28</v>
      </c>
      <c r="I15">
        <v>6</v>
      </c>
      <c r="J15" t="s">
        <v>28</v>
      </c>
      <c r="K15">
        <v>6</v>
      </c>
      <c r="L15" t="s">
        <v>28</v>
      </c>
      <c r="M15">
        <v>6</v>
      </c>
      <c r="N15" t="s">
        <v>28</v>
      </c>
      <c r="O15">
        <v>5</v>
      </c>
      <c r="P15" t="s">
        <v>28</v>
      </c>
      <c r="Q15">
        <v>6</v>
      </c>
    </row>
    <row r="16" spans="1:17" ht="14.4" thickBot="1" x14ac:dyDescent="0.3">
      <c r="A16" s="11" t="s">
        <v>37</v>
      </c>
      <c r="B16">
        <v>108</v>
      </c>
      <c r="C16">
        <v>1</v>
      </c>
      <c r="D16" s="9" t="s">
        <v>29</v>
      </c>
      <c r="E16" s="9">
        <v>7.7898950854194817</v>
      </c>
      <c r="F16" s="9" t="s">
        <v>29</v>
      </c>
      <c r="G16" s="9">
        <v>5.7840755365267524</v>
      </c>
      <c r="H16" s="9" t="s">
        <v>29</v>
      </c>
      <c r="I16" s="9">
        <v>14.277725187814369</v>
      </c>
      <c r="J16" s="9" t="s">
        <v>29</v>
      </c>
      <c r="K16" s="9">
        <v>7.4699376317599873</v>
      </c>
      <c r="L16" s="9" t="s">
        <v>29</v>
      </c>
      <c r="M16" s="9">
        <v>9.8315187404142446</v>
      </c>
      <c r="N16" s="9" t="s">
        <v>29</v>
      </c>
      <c r="O16" s="9">
        <v>18.142746344667575</v>
      </c>
      <c r="P16" s="9" t="s">
        <v>29</v>
      </c>
      <c r="Q16" s="9">
        <v>12.08902485873335</v>
      </c>
    </row>
    <row r="17" spans="1:10" x14ac:dyDescent="0.25">
      <c r="A17" s="11" t="s">
        <v>37</v>
      </c>
      <c r="B17">
        <v>103</v>
      </c>
      <c r="C17">
        <v>1</v>
      </c>
    </row>
    <row r="18" spans="1:10" x14ac:dyDescent="0.25">
      <c r="A18" s="11" t="s">
        <v>37</v>
      </c>
      <c r="B18">
        <v>101</v>
      </c>
      <c r="C18">
        <v>0</v>
      </c>
      <c r="F18" s="11" t="s">
        <v>48</v>
      </c>
      <c r="G18" s="11" t="s">
        <v>45</v>
      </c>
      <c r="H18" s="11" t="s">
        <v>46</v>
      </c>
      <c r="I18" s="11" t="s">
        <v>49</v>
      </c>
      <c r="J18" s="11" t="s">
        <v>50</v>
      </c>
    </row>
    <row r="19" spans="1:10" x14ac:dyDescent="0.25">
      <c r="A19" s="11" t="s">
        <v>40</v>
      </c>
      <c r="B19">
        <v>107</v>
      </c>
      <c r="C19">
        <v>0</v>
      </c>
      <c r="F19" s="11" t="s">
        <v>2</v>
      </c>
      <c r="G19" s="11">
        <f>E3</f>
        <v>107.5</v>
      </c>
      <c r="H19">
        <f>E8</f>
        <v>55.1</v>
      </c>
      <c r="I19">
        <f>E13</f>
        <v>116</v>
      </c>
      <c r="J19">
        <f>E12</f>
        <v>95</v>
      </c>
    </row>
    <row r="20" spans="1:10" x14ac:dyDescent="0.25">
      <c r="A20" s="11" t="s">
        <v>40</v>
      </c>
      <c r="B20">
        <v>104</v>
      </c>
      <c r="C20">
        <v>0</v>
      </c>
      <c r="F20" s="11" t="s">
        <v>37</v>
      </c>
      <c r="G20">
        <f>G3</f>
        <v>105.2</v>
      </c>
      <c r="H20">
        <f>G8</f>
        <v>21.700000000000003</v>
      </c>
      <c r="I20">
        <f>G13</f>
        <v>112</v>
      </c>
      <c r="J20">
        <f>G12</f>
        <v>101</v>
      </c>
    </row>
    <row r="21" spans="1:10" x14ac:dyDescent="0.25">
      <c r="A21" s="11" t="s">
        <v>40</v>
      </c>
      <c r="B21">
        <v>83</v>
      </c>
      <c r="C21">
        <v>0</v>
      </c>
      <c r="F21" s="11" t="s">
        <v>40</v>
      </c>
      <c r="G21">
        <f>I3</f>
        <v>95.5</v>
      </c>
      <c r="H21">
        <f>I8</f>
        <v>185.1</v>
      </c>
      <c r="I21">
        <f>I13</f>
        <v>112</v>
      </c>
      <c r="J21">
        <f>I12</f>
        <v>82</v>
      </c>
    </row>
    <row r="22" spans="1:10" x14ac:dyDescent="0.25">
      <c r="A22" s="11" t="s">
        <v>40</v>
      </c>
      <c r="B22">
        <v>112</v>
      </c>
      <c r="C22">
        <v>0</v>
      </c>
      <c r="F22" s="11" t="s">
        <v>3</v>
      </c>
      <c r="G22">
        <f>K3</f>
        <v>92.333333333333329</v>
      </c>
      <c r="H22">
        <f>K8</f>
        <v>50.666666666666671</v>
      </c>
      <c r="I22">
        <f>K13</f>
        <v>102</v>
      </c>
      <c r="J22">
        <f>K12</f>
        <v>84</v>
      </c>
    </row>
    <row r="23" spans="1:10" x14ac:dyDescent="0.25">
      <c r="A23" s="11" t="s">
        <v>40</v>
      </c>
      <c r="B23">
        <v>82</v>
      </c>
      <c r="C23">
        <v>0</v>
      </c>
      <c r="F23" s="11" t="s">
        <v>35</v>
      </c>
      <c r="G23">
        <f>M3</f>
        <v>104.16666666666667</v>
      </c>
      <c r="H23">
        <f>M8</f>
        <v>87.766666666666666</v>
      </c>
      <c r="I23">
        <f>M13</f>
        <v>121</v>
      </c>
      <c r="J23">
        <f>M12</f>
        <v>97</v>
      </c>
    </row>
    <row r="24" spans="1:10" x14ac:dyDescent="0.25">
      <c r="A24" s="11" t="s">
        <v>40</v>
      </c>
      <c r="B24">
        <v>85</v>
      </c>
      <c r="C24">
        <v>0</v>
      </c>
      <c r="F24" s="11" t="s">
        <v>33</v>
      </c>
      <c r="G24">
        <f>O3</f>
        <v>98</v>
      </c>
      <c r="H24">
        <f>O8</f>
        <v>213.5</v>
      </c>
      <c r="I24">
        <f>O13</f>
        <v>119</v>
      </c>
      <c r="J24">
        <f>O12</f>
        <v>80</v>
      </c>
    </row>
    <row r="25" spans="1:10" x14ac:dyDescent="0.25">
      <c r="A25" s="11" t="s">
        <v>3</v>
      </c>
      <c r="B25">
        <v>88</v>
      </c>
      <c r="C25">
        <v>0</v>
      </c>
      <c r="F25" s="11" t="s">
        <v>31</v>
      </c>
      <c r="G25">
        <f>Q3</f>
        <v>103.5</v>
      </c>
      <c r="H25">
        <f>Q8</f>
        <v>132.69999999999999</v>
      </c>
      <c r="I25">
        <f>Q13</f>
        <v>117</v>
      </c>
      <c r="J25">
        <f>Q12</f>
        <v>87</v>
      </c>
    </row>
    <row r="26" spans="1:10" x14ac:dyDescent="0.25">
      <c r="A26" s="11" t="s">
        <v>3</v>
      </c>
      <c r="B26">
        <v>102</v>
      </c>
      <c r="C26">
        <v>0</v>
      </c>
    </row>
    <row r="27" spans="1:10" x14ac:dyDescent="0.25">
      <c r="A27" s="11" t="s">
        <v>3</v>
      </c>
      <c r="B27">
        <v>89</v>
      </c>
      <c r="C27">
        <v>1</v>
      </c>
    </row>
    <row r="28" spans="1:10" x14ac:dyDescent="0.25">
      <c r="A28" s="11" t="s">
        <v>3</v>
      </c>
      <c r="B28">
        <v>100</v>
      </c>
      <c r="C28">
        <v>1</v>
      </c>
    </row>
    <row r="29" spans="1:10" x14ac:dyDescent="0.25">
      <c r="A29" s="11" t="s">
        <v>3</v>
      </c>
      <c r="B29">
        <v>84</v>
      </c>
      <c r="C29">
        <v>0</v>
      </c>
    </row>
    <row r="30" spans="1:10" x14ac:dyDescent="0.25">
      <c r="A30" s="11" t="s">
        <v>3</v>
      </c>
      <c r="B30">
        <v>91</v>
      </c>
      <c r="C30">
        <v>0</v>
      </c>
    </row>
    <row r="31" spans="1:10" x14ac:dyDescent="0.25">
      <c r="A31" s="11" t="s">
        <v>35</v>
      </c>
      <c r="B31">
        <v>108</v>
      </c>
      <c r="C31">
        <v>1</v>
      </c>
    </row>
    <row r="32" spans="1:10" x14ac:dyDescent="0.25">
      <c r="A32" s="11" t="s">
        <v>35</v>
      </c>
      <c r="B32">
        <v>98</v>
      </c>
      <c r="C32">
        <v>0</v>
      </c>
    </row>
    <row r="33" spans="1:3" x14ac:dyDescent="0.25">
      <c r="A33" s="11" t="s">
        <v>35</v>
      </c>
      <c r="B33">
        <v>97</v>
      </c>
      <c r="C33">
        <v>1</v>
      </c>
    </row>
    <row r="34" spans="1:3" x14ac:dyDescent="0.25">
      <c r="A34" s="11" t="s">
        <v>35</v>
      </c>
      <c r="B34">
        <v>97</v>
      </c>
      <c r="C34">
        <v>0</v>
      </c>
    </row>
    <row r="35" spans="1:3" x14ac:dyDescent="0.25">
      <c r="A35" s="11" t="s">
        <v>35</v>
      </c>
      <c r="B35">
        <v>121</v>
      </c>
      <c r="C35">
        <v>1</v>
      </c>
    </row>
    <row r="36" spans="1:3" x14ac:dyDescent="0.25">
      <c r="A36" s="11" t="s">
        <v>35</v>
      </c>
      <c r="B36">
        <v>104</v>
      </c>
      <c r="C36">
        <v>1</v>
      </c>
    </row>
    <row r="37" spans="1:3" x14ac:dyDescent="0.25">
      <c r="A37" s="11" t="s">
        <v>33</v>
      </c>
      <c r="B37">
        <v>80</v>
      </c>
      <c r="C37">
        <v>0</v>
      </c>
    </row>
    <row r="38" spans="1:3" x14ac:dyDescent="0.25">
      <c r="A38" s="11" t="s">
        <v>33</v>
      </c>
      <c r="B38">
        <v>98</v>
      </c>
      <c r="C38">
        <v>0</v>
      </c>
    </row>
    <row r="39" spans="1:3" x14ac:dyDescent="0.25">
      <c r="A39" s="11" t="s">
        <v>33</v>
      </c>
      <c r="B39">
        <v>90</v>
      </c>
      <c r="C39">
        <v>0</v>
      </c>
    </row>
    <row r="40" spans="1:3" x14ac:dyDescent="0.25">
      <c r="A40" s="11" t="s">
        <v>33</v>
      </c>
      <c r="B40">
        <v>119</v>
      </c>
      <c r="C40">
        <v>1</v>
      </c>
    </row>
    <row r="41" spans="1:3" x14ac:dyDescent="0.25">
      <c r="A41" s="11" t="s">
        <v>33</v>
      </c>
      <c r="B41">
        <v>103</v>
      </c>
      <c r="C41">
        <v>1</v>
      </c>
    </row>
  </sheetData>
  <sortState xmlns:xlrd2="http://schemas.microsoft.com/office/spreadsheetml/2017/richdata2" ref="A2:B41">
    <sortCondition ref="A1:A4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Players</vt:lpstr>
      <vt:lpstr>队伍统计1</vt:lpstr>
      <vt:lpstr>队伍统计2</vt:lpstr>
      <vt:lpstr>分析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dreas Ni</dc:creator>
  <cp:lastModifiedBy>hulkbus</cp:lastModifiedBy>
  <dcterms:created xsi:type="dcterms:W3CDTF">2015-06-05T18:19:34Z</dcterms:created>
  <dcterms:modified xsi:type="dcterms:W3CDTF">2023-06-01T09:02:40Z</dcterms:modified>
</cp:coreProperties>
</file>